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ya1\Downloads\"/>
    </mc:Choice>
  </mc:AlternateContent>
  <xr:revisionPtr revIDLastSave="0" documentId="13_ncr:2001_{147CEEC8-31D3-42DB-8734-6225CB706F74}" xr6:coauthVersionLast="47" xr6:coauthVersionMax="47" xr10:uidLastSave="{00000000-0000-0000-0000-000000000000}"/>
  <bookViews>
    <workbookView xWindow="0" yWindow="360" windowWidth="19420" windowHeight="10300" activeTab="1" xr2:uid="{B8513186-70C0-4AC5-A7CC-A5078C62DFE6}"/>
  </bookViews>
  <sheets>
    <sheet name="Dataset" sheetId="1" r:id="rId1"/>
    <sheet name="Results Summar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4" i="1"/>
</calcChain>
</file>

<file path=xl/sharedStrings.xml><?xml version="1.0" encoding="utf-8"?>
<sst xmlns="http://schemas.openxmlformats.org/spreadsheetml/2006/main" count="121" uniqueCount="75">
  <si>
    <t>Company</t>
  </si>
  <si>
    <t>Ticker</t>
  </si>
  <si>
    <t>Buy Price</t>
  </si>
  <si>
    <t>Shares</t>
  </si>
  <si>
    <t>Final Price</t>
  </si>
  <si>
    <t>Dividend / Share</t>
  </si>
  <si>
    <t>Expected Return</t>
  </si>
  <si>
    <t>Confidence</t>
  </si>
  <si>
    <t>Thesis</t>
  </si>
  <si>
    <t>Apple</t>
  </si>
  <si>
    <t>AAPL</t>
  </si>
  <si>
    <t>$243.85</t>
  </si>
  <si>
    <t>$271.86</t>
  </si>
  <si>
    <t>$1.03</t>
  </si>
  <si>
    <t>Medium</t>
  </si>
  <si>
    <t>Growth</t>
  </si>
  <si>
    <t>Microsoft</t>
  </si>
  <si>
    <t>MSFT</t>
  </si>
  <si>
    <t>$418.58</t>
  </si>
  <si>
    <t>$483.62</t>
  </si>
  <si>
    <t>$3.40</t>
  </si>
  <si>
    <t>High</t>
  </si>
  <si>
    <t>JPMorgan Chase</t>
  </si>
  <si>
    <t>JPM</t>
  </si>
  <si>
    <t>$240.00</t>
  </si>
  <si>
    <t>$322.22</t>
  </si>
  <si>
    <t>$5.55</t>
  </si>
  <si>
    <t>Value</t>
  </si>
  <si>
    <t>Coca-Cola</t>
  </si>
  <si>
    <t>KO</t>
  </si>
  <si>
    <t>$61.84</t>
  </si>
  <si>
    <t>$69.91</t>
  </si>
  <si>
    <t>$2.04</t>
  </si>
  <si>
    <t>Dividend</t>
  </si>
  <si>
    <t>NVIDIA</t>
  </si>
  <si>
    <t>NVDA</t>
  </si>
  <si>
    <t>$138.31</t>
  </si>
  <si>
    <t>$186.50</t>
  </si>
  <si>
    <t>$0.04</t>
  </si>
  <si>
    <t>Momentum</t>
  </si>
  <si>
    <t>Tesla</t>
  </si>
  <si>
    <t>TSLA</t>
  </si>
  <si>
    <t>$379.28</t>
  </si>
  <si>
    <t>$449.72</t>
  </si>
  <si>
    <t>$0.00</t>
  </si>
  <si>
    <t>Actual Return</t>
  </si>
  <si>
    <t>Forecast Error</t>
  </si>
  <si>
    <t>Thesis Type</t>
  </si>
  <si>
    <t>Capital-Weighted Return</t>
  </si>
  <si>
    <t>Forecast Error (pp)</t>
  </si>
  <si>
    <t>Direction</t>
  </si>
  <si>
    <t>Confidence Review</t>
  </si>
  <si>
    <t>Decision Assessment</t>
  </si>
  <si>
    <t>0.09 pp</t>
  </si>
  <si>
    <t>CORRECT</t>
  </si>
  <si>
    <t>Reasonable</t>
  </si>
  <si>
    <t>CORRECT DIRECTION / POSITIVE OUTCOME</t>
  </si>
  <si>
    <t>1.35 pp</t>
  </si>
  <si>
    <t>Well Aligned</t>
  </si>
  <si>
    <t>24.57 pp</t>
  </si>
  <si>
    <t>8.35 pp</t>
  </si>
  <si>
    <t>9.87 pp</t>
  </si>
  <si>
    <t>11.43 pp</t>
  </si>
  <si>
    <t>Potential Overconfidence</t>
  </si>
  <si>
    <t>THESISTRACK PORTFOLIO PERFORMANCE SUMMARY</t>
  </si>
  <si>
    <t>Portfolio KPI</t>
  </si>
  <si>
    <t>Result</t>
  </si>
  <si>
    <t>Overall Portfolio Return</t>
  </si>
  <si>
    <t>Directional Forecast Accuracy</t>
  </si>
  <si>
    <t>Average Forecast Error</t>
  </si>
  <si>
    <t>9.28 pp</t>
  </si>
  <si>
    <t>High-Confidence Direction Accuracy</t>
  </si>
  <si>
    <t>Potential Overconfidence Cases</t>
  </si>
  <si>
    <t>Strongest Thesis Type</t>
  </si>
  <si>
    <t>Value (+36.57%)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</si>
</sst>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9" fontId="2" fillId="0" borderId="1" xfId="0" applyNumberFormat="1" applyFont="1" applyBorder="1" applyAlignment="1">
      <alignment horizontal="center" wrapText="1"/>
    </xf>
    <xf numFmtId="10" fontId="0" fillId="0" borderId="1" xfId="0" applyNumberFormat="1" applyBorder="1"/>
    <xf numFmtId="10" fontId="0" fillId="0" borderId="1" xfId="1" applyNumberFormat="1" applyFont="1" applyBorder="1"/>
    <xf numFmtId="10" fontId="2" fillId="0" borderId="0" xfId="0" applyNumberFormat="1" applyFont="1" applyAlignment="1">
      <alignment vertical="center" wrapText="1"/>
    </xf>
    <xf numFmtId="10" fontId="0" fillId="0" borderId="1" xfId="0" applyNumberForma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Simulated Expected Return vs Realised 2025 Total Return</a:t>
            </a:r>
            <a:endParaRPr lang="en-IN"/>
          </a:p>
        </c:rich>
      </c:tx>
      <c:layout>
        <c:manualLayout>
          <c:xMode val="edge"/>
          <c:yMode val="edge"/>
          <c:x val="0.11140578689278435"/>
          <c:y val="2.7443428541381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Dataset!$H$3</c:f>
              <c:strCache>
                <c:ptCount val="1"/>
                <c:pt idx="0">
                  <c:v>Expected Return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Dataset!$C$4:$C$9</c:f>
              <c:strCache>
                <c:ptCount val="6"/>
                <c:pt idx="0">
                  <c:v>AAPL</c:v>
                </c:pt>
                <c:pt idx="1">
                  <c:v>MSFT</c:v>
                </c:pt>
                <c:pt idx="2">
                  <c:v>JPM</c:v>
                </c:pt>
                <c:pt idx="3">
                  <c:v>KO</c:v>
                </c:pt>
                <c:pt idx="4">
                  <c:v>NVDA</c:v>
                </c:pt>
                <c:pt idx="5">
                  <c:v>TSLA</c:v>
                </c:pt>
              </c:strCache>
            </c:strRef>
          </c:cat>
          <c:val>
            <c:numRef>
              <c:f>Dataset!$H$4:$H$9</c:f>
              <c:numCache>
                <c:formatCode>0%</c:formatCode>
                <c:ptCount val="6"/>
                <c:pt idx="0">
                  <c:v>0.12</c:v>
                </c:pt>
                <c:pt idx="1">
                  <c:v>0.15</c:v>
                </c:pt>
                <c:pt idx="2">
                  <c:v>0.12</c:v>
                </c:pt>
                <c:pt idx="3">
                  <c:v>0.08</c:v>
                </c:pt>
                <c:pt idx="4">
                  <c:v>0.25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5-438E-B277-81328F142118}"/>
            </c:ext>
          </c:extLst>
        </c:ser>
        <c:ser>
          <c:idx val="1"/>
          <c:order val="1"/>
          <c:tx>
            <c:strRef>
              <c:f>Dataset!$K$3</c:f>
              <c:strCache>
                <c:ptCount val="1"/>
                <c:pt idx="0">
                  <c:v>Actual Return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Dataset!$C$4:$C$9</c:f>
              <c:strCache>
                <c:ptCount val="6"/>
                <c:pt idx="0">
                  <c:v>AAPL</c:v>
                </c:pt>
                <c:pt idx="1">
                  <c:v>MSFT</c:v>
                </c:pt>
                <c:pt idx="2">
                  <c:v>JPM</c:v>
                </c:pt>
                <c:pt idx="3">
                  <c:v>KO</c:v>
                </c:pt>
                <c:pt idx="4">
                  <c:v>NVDA</c:v>
                </c:pt>
                <c:pt idx="5">
                  <c:v>TSLA</c:v>
                </c:pt>
              </c:strCache>
            </c:strRef>
          </c:cat>
          <c:val>
            <c:numRef>
              <c:f>Dataset!$K$4:$K$9</c:f>
              <c:numCache>
                <c:formatCode>0.00%</c:formatCode>
                <c:ptCount val="6"/>
                <c:pt idx="0">
                  <c:v>0.1191</c:v>
                </c:pt>
                <c:pt idx="1">
                  <c:v>0.16350000000000001</c:v>
                </c:pt>
                <c:pt idx="2">
                  <c:v>0.36570000000000003</c:v>
                </c:pt>
                <c:pt idx="3">
                  <c:v>0.16350000000000001</c:v>
                </c:pt>
                <c:pt idx="4">
                  <c:v>0.34870000000000001</c:v>
                </c:pt>
                <c:pt idx="5">
                  <c:v>0.1857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5-438E-B277-81328F142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8411711"/>
        <c:axId val="1865664911"/>
      </c:barChart>
      <c:catAx>
        <c:axId val="187841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64911"/>
        <c:crosses val="autoZero"/>
        <c:auto val="1"/>
        <c:lblAlgn val="ctr"/>
        <c:lblOffset val="100"/>
        <c:noMultiLvlLbl val="0"/>
      </c:catAx>
      <c:valAx>
        <c:axId val="18656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1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Absolute Forecast Error by Company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Dataset!$L$3</c:f>
              <c:strCache>
                <c:ptCount val="1"/>
                <c:pt idx="0">
                  <c:v>Forecast 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Dataset!$C$4:$C$9</c:f>
              <c:strCache>
                <c:ptCount val="6"/>
                <c:pt idx="0">
                  <c:v>AAPL</c:v>
                </c:pt>
                <c:pt idx="1">
                  <c:v>MSFT</c:v>
                </c:pt>
                <c:pt idx="2">
                  <c:v>JPM</c:v>
                </c:pt>
                <c:pt idx="3">
                  <c:v>KO</c:v>
                </c:pt>
                <c:pt idx="4">
                  <c:v>NVDA</c:v>
                </c:pt>
                <c:pt idx="5">
                  <c:v>TSLA</c:v>
                </c:pt>
              </c:strCache>
            </c:strRef>
          </c:cat>
          <c:val>
            <c:numRef>
              <c:f>Dataset!$L$4:$L$9</c:f>
              <c:numCache>
                <c:formatCode>0.00%</c:formatCode>
                <c:ptCount val="6"/>
                <c:pt idx="0">
                  <c:v>8.9999999999999802E-4</c:v>
                </c:pt>
                <c:pt idx="1">
                  <c:v>1.3500000000000012E-2</c:v>
                </c:pt>
                <c:pt idx="2">
                  <c:v>0.24570000000000003</c:v>
                </c:pt>
                <c:pt idx="3">
                  <c:v>8.3500000000000005E-2</c:v>
                </c:pt>
                <c:pt idx="4">
                  <c:v>9.870000000000001E-2</c:v>
                </c:pt>
                <c:pt idx="5">
                  <c:v>0.11429999999999998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E-4A20-9B7C-6CEFDE2BD9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5732303"/>
        <c:axId val="1865623151"/>
      </c:barChart>
      <c:catAx>
        <c:axId val="191573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23151"/>
        <c:crosses val="autoZero"/>
        <c:auto val="1"/>
        <c:lblAlgn val="ctr"/>
        <c:lblOffset val="100"/>
        <c:noMultiLvlLbl val="0"/>
      </c:catAx>
      <c:valAx>
        <c:axId val="18656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3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Capital-Weighted Return by Investment Thesis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Dataset!$O$17</c:f>
              <c:strCache>
                <c:ptCount val="1"/>
                <c:pt idx="0">
                  <c:v>Capital-Weighted Return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Dataset!$N$18:$N$21</c:f>
              <c:strCache>
                <c:ptCount val="4"/>
                <c:pt idx="0">
                  <c:v>Growth</c:v>
                </c:pt>
                <c:pt idx="1">
                  <c:v>Value</c:v>
                </c:pt>
                <c:pt idx="2">
                  <c:v>Dividend</c:v>
                </c:pt>
                <c:pt idx="3">
                  <c:v>Momentum</c:v>
                </c:pt>
              </c:strCache>
            </c:strRef>
          </c:cat>
          <c:val>
            <c:numRef>
              <c:f>Dataset!$O$18:$O$21</c:f>
              <c:numCache>
                <c:formatCode>0.00%</c:formatCode>
                <c:ptCount val="4"/>
                <c:pt idx="0">
                  <c:v>0.1409</c:v>
                </c:pt>
                <c:pt idx="1">
                  <c:v>0.36570000000000003</c:v>
                </c:pt>
                <c:pt idx="2">
                  <c:v>0.16350000000000001</c:v>
                </c:pt>
                <c:pt idx="3">
                  <c:v>0.2676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3-48D6-8953-D7F5C5376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2569167"/>
        <c:axId val="1865570351"/>
      </c:barChart>
      <c:catAx>
        <c:axId val="19325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70351"/>
        <c:crosses val="autoZero"/>
        <c:auto val="1"/>
        <c:lblAlgn val="ctr"/>
        <c:lblOffset val="100"/>
        <c:noMultiLvlLbl val="0"/>
      </c:catAx>
      <c:valAx>
        <c:axId val="18655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6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333652</xdr:colOff>
      <xdr:row>1</xdr:row>
      <xdr:rowOff>3120</xdr:rowOff>
    </xdr:from>
    <xdr:to>
      <xdr:col>20</xdr:col>
      <xdr:colOff>47345</xdr:colOff>
      <xdr:row>13</xdr:row>
      <xdr:rowOff>92688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472E40-D73B-BEF4-94D8-2F0894963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50132</xdr:colOff>
      <xdr:row>9</xdr:row>
      <xdr:rowOff>175795</xdr:rowOff>
    </xdr:from>
    <xdr:to>
      <xdr:col>11</xdr:col>
      <xdr:colOff>0</xdr:colOff>
      <xdr:row>21</xdr:row>
      <xdr:rowOff>33421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21F689-795B-006A-D3B0-C654D68C0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203870</xdr:colOff>
      <xdr:row>14</xdr:row>
      <xdr:rowOff>142373</xdr:rowOff>
    </xdr:from>
    <xdr:to>
      <xdr:col>22</xdr:col>
      <xdr:colOff>518027</xdr:colOff>
      <xdr:row>26</xdr:row>
      <xdr:rowOff>91573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891371-92F4-367F-D86F-326834006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FCBC-354D-4CB7-9EE1-EFBE771F7110}">
  <dimension ref="B3:O21"/>
  <sheetViews>
    <sheetView topLeftCell="H13" zoomScale="95" workbookViewId="0">
      <selection activeCell="L24" sqref="L24"/>
    </sheetView>
  </sheetViews>
  <sheetFormatPr defaultRowHeight="14.5" x14ac:dyDescent="0.35"/>
  <cols>
    <col min="2" max="11" width="10.6328125" customWidth="1"/>
  </cols>
  <sheetData>
    <row r="3" spans="2:12" ht="29" x14ac:dyDescent="0.3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45</v>
      </c>
      <c r="L3" s="3" t="s">
        <v>46</v>
      </c>
    </row>
    <row r="4" spans="2:12" x14ac:dyDescent="0.35">
      <c r="B4" s="4" t="s">
        <v>9</v>
      </c>
      <c r="C4" s="4" t="s">
        <v>10</v>
      </c>
      <c r="D4" s="3" t="s">
        <v>11</v>
      </c>
      <c r="E4" s="3">
        <v>41</v>
      </c>
      <c r="F4" s="3" t="s">
        <v>12</v>
      </c>
      <c r="G4" s="3" t="s">
        <v>13</v>
      </c>
      <c r="H4" s="5">
        <v>0.12</v>
      </c>
      <c r="I4" s="4" t="s">
        <v>14</v>
      </c>
      <c r="J4" s="4" t="s">
        <v>15</v>
      </c>
      <c r="K4" s="6">
        <v>0.1191</v>
      </c>
      <c r="L4" s="7">
        <f t="shared" ref="L4:L9" si="0">ABS(K4-H4)</f>
        <v>8.9999999999999802E-4</v>
      </c>
    </row>
    <row r="5" spans="2:12" x14ac:dyDescent="0.35">
      <c r="B5" s="4" t="s">
        <v>16</v>
      </c>
      <c r="C5" s="4" t="s">
        <v>17</v>
      </c>
      <c r="D5" s="3" t="s">
        <v>18</v>
      </c>
      <c r="E5" s="3">
        <v>23</v>
      </c>
      <c r="F5" s="3" t="s">
        <v>19</v>
      </c>
      <c r="G5" s="3" t="s">
        <v>20</v>
      </c>
      <c r="H5" s="5">
        <v>0.15</v>
      </c>
      <c r="I5" s="4" t="s">
        <v>21</v>
      </c>
      <c r="J5" s="4" t="s">
        <v>15</v>
      </c>
      <c r="K5" s="6">
        <v>0.16350000000000001</v>
      </c>
      <c r="L5" s="7">
        <f t="shared" si="0"/>
        <v>1.3500000000000012E-2</v>
      </c>
    </row>
    <row r="6" spans="2:12" ht="29" x14ac:dyDescent="0.35">
      <c r="B6" s="4" t="s">
        <v>22</v>
      </c>
      <c r="C6" s="4" t="s">
        <v>23</v>
      </c>
      <c r="D6" s="3" t="s">
        <v>24</v>
      </c>
      <c r="E6" s="3">
        <v>41</v>
      </c>
      <c r="F6" s="3" t="s">
        <v>25</v>
      </c>
      <c r="G6" s="3" t="s">
        <v>26</v>
      </c>
      <c r="H6" s="5">
        <v>0.12</v>
      </c>
      <c r="I6" s="4" t="s">
        <v>14</v>
      </c>
      <c r="J6" s="4" t="s">
        <v>27</v>
      </c>
      <c r="K6" s="6">
        <v>0.36570000000000003</v>
      </c>
      <c r="L6" s="7">
        <f t="shared" si="0"/>
        <v>0.24570000000000003</v>
      </c>
    </row>
    <row r="7" spans="2:12" x14ac:dyDescent="0.35">
      <c r="B7" s="4" t="s">
        <v>28</v>
      </c>
      <c r="C7" s="4" t="s">
        <v>29</v>
      </c>
      <c r="D7" s="3" t="s">
        <v>30</v>
      </c>
      <c r="E7" s="3">
        <v>161</v>
      </c>
      <c r="F7" s="3" t="s">
        <v>31</v>
      </c>
      <c r="G7" s="3" t="s">
        <v>32</v>
      </c>
      <c r="H7" s="5">
        <v>0.08</v>
      </c>
      <c r="I7" s="4" t="s">
        <v>21</v>
      </c>
      <c r="J7" s="4" t="s">
        <v>33</v>
      </c>
      <c r="K7" s="6">
        <v>0.16350000000000001</v>
      </c>
      <c r="L7" s="7">
        <f t="shared" si="0"/>
        <v>8.3500000000000005E-2</v>
      </c>
    </row>
    <row r="8" spans="2:12" x14ac:dyDescent="0.35">
      <c r="B8" s="4" t="s">
        <v>34</v>
      </c>
      <c r="C8" s="4" t="s">
        <v>35</v>
      </c>
      <c r="D8" s="3" t="s">
        <v>36</v>
      </c>
      <c r="E8" s="3">
        <v>72</v>
      </c>
      <c r="F8" s="3" t="s">
        <v>37</v>
      </c>
      <c r="G8" s="3" t="s">
        <v>38</v>
      </c>
      <c r="H8" s="5">
        <v>0.25</v>
      </c>
      <c r="I8" s="4" t="s">
        <v>21</v>
      </c>
      <c r="J8" s="4" t="s">
        <v>39</v>
      </c>
      <c r="K8" s="6">
        <v>0.34870000000000001</v>
      </c>
      <c r="L8" s="7">
        <f t="shared" si="0"/>
        <v>9.870000000000001E-2</v>
      </c>
    </row>
    <row r="9" spans="2:12" ht="21" customHeight="1" x14ac:dyDescent="0.35">
      <c r="B9" s="4" t="s">
        <v>40</v>
      </c>
      <c r="C9" s="4" t="s">
        <v>41</v>
      </c>
      <c r="D9" s="3" t="s">
        <v>42</v>
      </c>
      <c r="E9" s="3">
        <v>26</v>
      </c>
      <c r="F9" s="3" t="s">
        <v>43</v>
      </c>
      <c r="G9" s="3" t="s">
        <v>44</v>
      </c>
      <c r="H9" s="5">
        <v>0.3</v>
      </c>
      <c r="I9" s="4" t="s">
        <v>21</v>
      </c>
      <c r="J9" s="4" t="s">
        <v>39</v>
      </c>
      <c r="K9" s="6">
        <v>0.1857</v>
      </c>
      <c r="L9" s="7">
        <f t="shared" si="0"/>
        <v>0.11429999999999998</v>
      </c>
    </row>
    <row r="17" spans="14:15" ht="43.5" x14ac:dyDescent="0.35">
      <c r="N17" s="1" t="s">
        <v>47</v>
      </c>
      <c r="O17" s="1" t="s">
        <v>48</v>
      </c>
    </row>
    <row r="18" spans="14:15" x14ac:dyDescent="0.35">
      <c r="N18" s="2" t="s">
        <v>15</v>
      </c>
      <c r="O18" s="8">
        <v>0.1409</v>
      </c>
    </row>
    <row r="19" spans="14:15" x14ac:dyDescent="0.35">
      <c r="N19" s="2" t="s">
        <v>27</v>
      </c>
      <c r="O19" s="8">
        <v>0.36570000000000003</v>
      </c>
    </row>
    <row r="20" spans="14:15" x14ac:dyDescent="0.35">
      <c r="N20" s="2" t="s">
        <v>33</v>
      </c>
      <c r="O20" s="8">
        <v>0.16350000000000001</v>
      </c>
    </row>
    <row r="21" spans="14:15" ht="29" x14ac:dyDescent="0.35">
      <c r="N21" s="2" t="s">
        <v>39</v>
      </c>
      <c r="O21" s="8">
        <v>0.2676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0BD1-C1D9-4531-9D20-9F808A817F97}">
  <dimension ref="B3:J20"/>
  <sheetViews>
    <sheetView tabSelected="1" topLeftCell="B15" workbookViewId="0">
      <selection activeCell="E17" sqref="E17"/>
    </sheetView>
  </sheetViews>
  <sheetFormatPr defaultRowHeight="14.5" x14ac:dyDescent="0.35"/>
  <cols>
    <col min="2" max="2" width="10.6328125" customWidth="1"/>
    <col min="3" max="3" width="34.453125" customWidth="1"/>
    <col min="4" max="4" width="18" customWidth="1"/>
    <col min="5" max="9" width="10.6328125" customWidth="1"/>
    <col min="10" max="10" width="17.90625" customWidth="1"/>
  </cols>
  <sheetData>
    <row r="3" spans="2:10" ht="34.5" customHeight="1" x14ac:dyDescent="0.35">
      <c r="B3" s="3" t="s">
        <v>1</v>
      </c>
      <c r="C3" s="3" t="s">
        <v>6</v>
      </c>
      <c r="D3" s="3" t="s">
        <v>45</v>
      </c>
      <c r="E3" s="3" t="s">
        <v>49</v>
      </c>
      <c r="F3" s="3" t="s">
        <v>50</v>
      </c>
      <c r="G3" s="3" t="s">
        <v>7</v>
      </c>
      <c r="H3" s="3" t="s">
        <v>51</v>
      </c>
      <c r="I3" s="3" t="s">
        <v>8</v>
      </c>
      <c r="J3" s="3" t="s">
        <v>52</v>
      </c>
    </row>
    <row r="4" spans="2:10" ht="70" customHeight="1" x14ac:dyDescent="0.35">
      <c r="B4" s="4" t="s">
        <v>10</v>
      </c>
      <c r="C4" s="9">
        <v>0.12</v>
      </c>
      <c r="D4" s="9">
        <v>0.1191</v>
      </c>
      <c r="E4" s="4" t="s">
        <v>53</v>
      </c>
      <c r="F4" s="4" t="s">
        <v>54</v>
      </c>
      <c r="G4" s="4" t="s">
        <v>14</v>
      </c>
      <c r="H4" s="4" t="s">
        <v>55</v>
      </c>
      <c r="I4" s="4" t="s">
        <v>15</v>
      </c>
      <c r="J4" s="4" t="s">
        <v>56</v>
      </c>
    </row>
    <row r="5" spans="2:10" ht="66" customHeight="1" x14ac:dyDescent="0.35">
      <c r="B5" s="4" t="s">
        <v>17</v>
      </c>
      <c r="C5" s="9">
        <v>0.15</v>
      </c>
      <c r="D5" s="9">
        <v>0.16350000000000001</v>
      </c>
      <c r="E5" s="4" t="s">
        <v>57</v>
      </c>
      <c r="F5" s="4" t="s">
        <v>54</v>
      </c>
      <c r="G5" s="4" t="s">
        <v>21</v>
      </c>
      <c r="H5" s="4" t="s">
        <v>58</v>
      </c>
      <c r="I5" s="4" t="s">
        <v>15</v>
      </c>
      <c r="J5" s="4" t="s">
        <v>56</v>
      </c>
    </row>
    <row r="6" spans="2:10" ht="70.5" customHeight="1" x14ac:dyDescent="0.35">
      <c r="B6" s="4" t="s">
        <v>23</v>
      </c>
      <c r="C6" s="9">
        <v>0.12</v>
      </c>
      <c r="D6" s="9">
        <v>0.36570000000000003</v>
      </c>
      <c r="E6" s="4" t="s">
        <v>59</v>
      </c>
      <c r="F6" s="4" t="s">
        <v>54</v>
      </c>
      <c r="G6" s="4" t="s">
        <v>14</v>
      </c>
      <c r="H6" s="4" t="s">
        <v>55</v>
      </c>
      <c r="I6" s="4" t="s">
        <v>27</v>
      </c>
      <c r="J6" s="4" t="s">
        <v>56</v>
      </c>
    </row>
    <row r="7" spans="2:10" ht="66" customHeight="1" x14ac:dyDescent="0.35">
      <c r="B7" s="4" t="s">
        <v>29</v>
      </c>
      <c r="C7" s="9">
        <v>0.08</v>
      </c>
      <c r="D7" s="9">
        <v>0.16350000000000001</v>
      </c>
      <c r="E7" s="4" t="s">
        <v>60</v>
      </c>
      <c r="F7" s="4" t="s">
        <v>54</v>
      </c>
      <c r="G7" s="4" t="s">
        <v>21</v>
      </c>
      <c r="H7" s="4" t="s">
        <v>55</v>
      </c>
      <c r="I7" s="4" t="s">
        <v>33</v>
      </c>
      <c r="J7" s="4" t="s">
        <v>56</v>
      </c>
    </row>
    <row r="8" spans="2:10" ht="85" customHeight="1" x14ac:dyDescent="0.35">
      <c r="B8" s="4" t="s">
        <v>35</v>
      </c>
      <c r="C8" s="9">
        <v>0.25</v>
      </c>
      <c r="D8" s="9">
        <v>0.34870000000000001</v>
      </c>
      <c r="E8" s="4" t="s">
        <v>61</v>
      </c>
      <c r="F8" s="4" t="s">
        <v>54</v>
      </c>
      <c r="G8" s="4" t="s">
        <v>21</v>
      </c>
      <c r="H8" s="4" t="s">
        <v>55</v>
      </c>
      <c r="I8" s="4" t="s">
        <v>39</v>
      </c>
      <c r="J8" s="4" t="s">
        <v>56</v>
      </c>
    </row>
    <row r="9" spans="2:10" ht="51.5" customHeight="1" x14ac:dyDescent="0.35">
      <c r="B9" s="4" t="s">
        <v>41</v>
      </c>
      <c r="C9" s="9">
        <v>0.3</v>
      </c>
      <c r="D9" s="9">
        <v>0.1857</v>
      </c>
      <c r="E9" s="4" t="s">
        <v>62</v>
      </c>
      <c r="F9" s="4" t="s">
        <v>54</v>
      </c>
      <c r="G9" s="4" t="s">
        <v>21</v>
      </c>
      <c r="H9" s="3" t="s">
        <v>63</v>
      </c>
      <c r="I9" s="4" t="s">
        <v>39</v>
      </c>
      <c r="J9" s="4" t="s">
        <v>56</v>
      </c>
    </row>
    <row r="12" spans="2:10" x14ac:dyDescent="0.35">
      <c r="E12" s="10" t="s">
        <v>64</v>
      </c>
      <c r="F12" s="10"/>
      <c r="G12" s="10"/>
      <c r="H12" s="10"/>
      <c r="I12" s="10"/>
    </row>
    <row r="14" spans="2:10" x14ac:dyDescent="0.35">
      <c r="C14" s="11" t="s">
        <v>65</v>
      </c>
      <c r="D14" s="11" t="s">
        <v>66</v>
      </c>
    </row>
    <row r="15" spans="2:10" x14ac:dyDescent="0.35">
      <c r="C15" s="12" t="s">
        <v>67</v>
      </c>
      <c r="D15" s="13">
        <v>0.22439999999999999</v>
      </c>
    </row>
    <row r="16" spans="2:10" x14ac:dyDescent="0.35">
      <c r="C16" s="12" t="s">
        <v>68</v>
      </c>
      <c r="D16" s="13">
        <v>1</v>
      </c>
    </row>
    <row r="17" spans="3:4" x14ac:dyDescent="0.35">
      <c r="C17" s="12" t="s">
        <v>69</v>
      </c>
      <c r="D17" s="11" t="s">
        <v>70</v>
      </c>
    </row>
    <row r="18" spans="3:4" x14ac:dyDescent="0.35">
      <c r="C18" s="12" t="s">
        <v>71</v>
      </c>
      <c r="D18" s="13">
        <v>1</v>
      </c>
    </row>
    <row r="19" spans="3:4" x14ac:dyDescent="0.35">
      <c r="C19" s="12" t="s">
        <v>72</v>
      </c>
      <c r="D19" s="11">
        <v>1</v>
      </c>
    </row>
    <row r="20" spans="3:4" x14ac:dyDescent="0.35">
      <c r="C20" s="12" t="s">
        <v>73</v>
      </c>
      <c r="D20" s="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Results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Kulkarni</dc:creator>
  <cp:lastModifiedBy>Siya Kulkarni</cp:lastModifiedBy>
  <dcterms:created xsi:type="dcterms:W3CDTF">2026-09-09T04:33:02Z</dcterms:created>
  <dcterms:modified xsi:type="dcterms:W3CDTF">2026-09-14T04:52:22Z</dcterms:modified>
</cp:coreProperties>
</file>